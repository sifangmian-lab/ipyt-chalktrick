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cdad4ac01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与计算" sheetId="1" r:id="Re1d9a0f4a71d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0"/>
    <x:numFmt numFmtId="202" formatCode="0.00"/>
  </x:numFmts>
  <x:fonts count="6">
    <x:font>
      <x:sz val="11"/>
      <x:name val="Carlito"/>
    </x:font>
    <x:font>
      <x:sz val="11"/>
      <x:color rgb="FF243247"/>
      <x:name val="Microsoft YaHei"/>
    </x:font>
    <x:font>
      <x:b/>
      <x:sz val="16"/>
      <x:color rgb="FF233B61"/>
      <x:name val="Microsoft YaHei"/>
    </x:font>
    <x:font>
      <x:b/>
      <x:sz val="11"/>
      <x:color rgb="FF243247"/>
      <x:name val="Microsoft YaHei"/>
    </x:font>
    <x:font>
      <x:sz val="11"/>
      <x:color rgb="FF63758A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A"/>
      </x:patternFill>
    </x:fill>
    <x:fill>
      <x:patternFill patternType="solid">
        <x:fgColor rgb="FFEDF2F7"/>
      </x:patternFill>
    </x:fill>
    <x:fill>
      <x:patternFill patternType="solid">
        <x:fgColor rgb="FF233B61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8D9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right" vertical="center"/>
    </x:xf>
    <x:xf numFmtId="202" fontId="1" fillId="3" borderId="1" xfId="0" applyNumberFormat="1" applyFont="1" applyFill="1" applyBorder="1" applyAlignment="1">
      <x:alignment horizontal="right" vertical="center"/>
    </x:xf>
    <x:xf numFmtId="201" fontId="1" fillId="3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b1e289bc44b44" /><Relationship Type="http://schemas.openxmlformats.org/officeDocument/2006/relationships/theme" Target="/xl/theme/theme1.xml" Id="Rbc02de8afe574a05" /><Relationship Type="http://schemas.openxmlformats.org/officeDocument/2006/relationships/sharedStrings" Target="/xl/sharedStrings.xml" Id="R832a3f62be454e16" /><Relationship Type="http://schemas.openxmlformats.org/officeDocument/2006/relationships/worksheet" Target="/xl/worksheets/sheet1.xml" Id="Re1d9a0f4a71d44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0" hidden="0" customWidth="1"/>
    <x:col min="4" max="4" width="23" hidden="0" customWidth="1"/>
    <x:col min="5" max="5" width="19" hidden="0" customWidth="1"/>
    <x:col min="6" max="6" width="23" hidden="0" customWidth="1"/>
    <x:col min="7" max="7" width="3" hidden="0" customWidth="1"/>
    <x:col min="8" max="8" width="61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黑板与粉笔：斜面静摩擦数据</x:v>
      </x:c>
      <x:c r="B2" s="3"/>
      <x:c r="C2" s="3"/>
      <x:c r="D2" s="3"/>
      <x:c r="E2" s="3"/>
      <x:c r="F2" s="3"/>
      <x:c r="G2" s="2"/>
      <x:c r="H2" s="2"/>
    </x:row>
    <x:row r="3" ht="27" customHeight="1">
      <x:c r="A3" s="4"/>
      <x:c r="B3" s="4"/>
      <x:c r="C3" s="4"/>
      <x:c r="D3" s="4"/>
      <x:c r="E3" s="4"/>
      <x:c r="F3" s="4"/>
      <x:c r="G3" s="2"/>
      <x:c r="H3" s="2"/>
    </x:row>
    <x:row r="4" ht="27" customHeight="1">
      <x:c r="A4" s="2" t="str">
        <x:v>板长 L（cm）</x:v>
      </x:c>
      <x:c r="B4" s="2"/>
      <x:c r="C4" s="20" t="n">
        <x:v>60</x:v>
      </x:c>
      <x:c r="D4" s="21"/>
      <x:c r="E4" s="21"/>
      <x:c r="F4" s="21"/>
      <x:c r="G4" s="2"/>
      <x:c r="H4" s="13" t="str">
        <x:v>计算方法与假设</x:v>
      </x:c>
    </x:row>
    <x:row r="5" ht="27" customHeight="1">
      <x:c r="A5" s="2" t="str">
        <x:v>高度下界（cm）</x:v>
      </x:c>
      <x:c r="B5" s="2"/>
      <x:c r="C5" s="22" t="n">
        <x:f>MAX(C19:C21)</x:f>
        <x:v>33.9</x:v>
      </x:c>
      <x:c r="D5" s="24" t="str">
        <x:v>高度上界（cm）</x:v>
      </x:c>
      <x:c r="E5" s="21"/>
      <x:c r="F5" s="22" t="n">
        <x:f>MIN(C14:C18)</x:f>
        <x:v>34</x:v>
      </x:c>
      <x:c r="G5" s="2"/>
      <x:c r="H5" s="2" t="str">
        <x:v>θ = arcsin(h/L)</x:v>
      </x:c>
    </x:row>
    <x:row r="6" ht="27" customHeight="1">
      <x:c r="A6" s="2" t="str">
        <x:v>μs 下界</x:v>
      </x:c>
      <x:c r="B6" s="2"/>
      <x:c r="C6" s="23" t="n">
        <x:f>MAX(F19:F21)</x:f>
        <x:v>0.6847730319220345</x:v>
      </x:c>
      <x:c r="D6" s="24" t="str">
        <x:v>μs 上界</x:v>
      </x:c>
      <x:c r="E6" s="21"/>
      <x:c r="F6" s="23" t="n">
        <x:f>MIN(F14:F18)</x:f>
        <x:v>0.6877463849533246</x:v>
      </x:c>
      <x:c r="G6" s="2"/>
      <x:c r="H6" s="2" t="str">
        <x:v>μs = tan θ = h / √(L² − h²)</x:v>
      </x:c>
    </x:row>
    <x:row r="7" ht="27" customHeight="1">
      <x:c r="A7" s="2" t="str">
        <x:v>区间中点估计</x:v>
      </x:c>
      <x:c r="B7" s="2"/>
      <x:c r="C7" s="23" t="n">
        <x:f>AVERAGE(C6,F6)</x:f>
        <x:v>0.6862597084376796</x:v>
      </x:c>
      <x:c r="D7" s="21"/>
      <x:c r="E7" s="21"/>
      <x:c r="F7" s="21"/>
      <x:c r="G7" s="2"/>
      <x:c r="H7" s="2"/>
    </x:row>
    <x:row r="8" ht="27" customHeight="1">
      <x:c r="A8" s="2"/>
      <x:c r="B8" s="2"/>
      <x:c r="C8" s="2"/>
      <x:c r="D8" s="2"/>
      <x:c r="E8" s="2"/>
      <x:c r="F8" s="2"/>
      <x:c r="G8" s="2"/>
      <x:c r="H8" s="2" t="str">
        <x:v>高度 h 按抬升端相对低端的竖直高差计算。</x:v>
      </x:c>
    </x:row>
    <x:row r="9" ht="27" customHeight="1">
      <x:c r="A9" s="2"/>
      <x:c r="B9" s="2"/>
      <x:c r="C9" s="2"/>
      <x:c r="D9" s="2"/>
      <x:c r="E9" s="2"/>
      <x:c r="F9" s="2"/>
      <x:c r="G9" s="2"/>
      <x:c r="H9" s="2" t="str">
        <x:v>汇总假设全部上下界约束同一个起滑阈值。</x:v>
      </x:c>
    </x:row>
    <x:row r="10" ht="27" customHeight="1">
      <x:c r="A10" s="12" t="str">
        <x:v>黄色：原始输入。灰色：计算结果。μs 无量纲。</x:v>
      </x:c>
      <x:c r="B10" s="12"/>
      <x:c r="C10" s="12"/>
      <x:c r="D10" s="12"/>
      <x:c r="E10" s="12"/>
      <x:c r="F10" s="12"/>
      <x:c r="G10" s="2"/>
      <x:c r="H10" s="2" t="str">
        <x:v>各组保留口述顺序，未做跨组配对或剔除。</x:v>
      </x:c>
    </x:row>
    <x:row r="11" ht="27" customHeight="1">
      <x:c r="A11" s="12" t="str">
        <x:v>来源：用户口述；记录日期 2026-10-29，实际测量日期未提供。</x:v>
      </x:c>
      <x:c r="B11" s="12"/>
      <x:c r="C11" s="12"/>
      <x:c r="D11" s="12"/>
      <x:c r="E11" s="12"/>
      <x:c r="F11" s="12"/>
      <x:c r="G11" s="2"/>
      <x:c r="H11" s="2" t="str">
        <x:v>中点是区间估计，非重复测量均值。</x:v>
      </x:c>
    </x:row>
    <x:row r="12" ht="27" customHeight="1">
      <x:c r="A12" s="2"/>
      <x:c r="B12" s="2"/>
      <x:c r="C12" s="2"/>
      <x:c r="D12" s="2"/>
      <x:c r="E12" s="2"/>
      <x:c r="F12" s="2"/>
      <x:c r="G12" s="2"/>
      <x:c r="H12" s="2" t="str">
        <x:v>区间未计板长、测高及支点位置的不确定度。</x:v>
      </x:c>
    </x:row>
    <x:row r="13" ht="40" customHeight="1">
      <x:c r="A13" s="17" t="str">
        <x:v>组内序号</x:v>
      </x:c>
      <x:c r="B13" s="17" t="str">
        <x:v>界限类别</x:v>
      </x:c>
      <x:c r="C13" s="17" t="str">
        <x:v>抬升端高度 h（cm）</x:v>
      </x:c>
      <x:c r="D13" s="17" t="str">
        <x:v>水平投影（cm）</x:v>
      </x:c>
      <x:c r="E13" s="17" t="str">
        <x:v>倾角 θ（°）</x:v>
      </x:c>
      <x:c r="F13" s="17" t="str">
        <x:v>μs 对应界限（无量纲）</x:v>
      </x:c>
      <x:c r="G13" s="2"/>
      <x:c r="H13" s="2"/>
    </x:row>
    <x:row r="14" ht="27" customHeight="1">
      <x:c r="A14" s="21" t="n">
        <x:v>1</x:v>
      </x:c>
      <x:c r="B14" s="2" t="str">
        <x:v>上界</x:v>
      </x:c>
      <x:c r="C14" s="20" t="n">
        <x:v>37.4</x:v>
      </x:c>
      <x:c r="D14" s="25" t="n">
        <x:f>SQRT($C$4^2-C14^2)</x:f>
        <x:v>46.917374180574086</x:v>
      </x:c>
      <x:c r="E14" s="25" t="n">
        <x:f>DEGREES(ASIN(C14/$C$4))</x:f>
        <x:v>38.55996283858733</x:v>
      </x:c>
      <x:c r="F14" s="26" t="n">
        <x:f>C14/D14</x:f>
        <x:v>0.7971460605628967</x:v>
      </x:c>
      <x:c r="G14" s="2"/>
      <x:c r="H14" s="2"/>
    </x:row>
    <x:row r="15" ht="27" customHeight="1">
      <x:c r="A15" s="21" t="n">
        <x:v>2</x:v>
      </x:c>
      <x:c r="B15" s="2" t="str">
        <x:v>上界</x:v>
      </x:c>
      <x:c r="C15" s="20" t="n">
        <x:v>35.5</x:v>
      </x:c>
      <x:c r="D15" s="25" t="n">
        <x:f>SQRT($C$4^2-C15^2)</x:f>
        <x:v>48.370962363798384</x:v>
      </x:c>
      <x:c r="E15" s="25" t="n">
        <x:f>DEGREES(ASIN(C15/$C$4))</x:f>
        <x:v>36.27536933550662</x:v>
      </x:c>
      <x:c r="F15" s="26" t="n">
        <x:f>C15/D15</x:f>
        <x:v>0.7339113853680277</x:v>
      </x:c>
      <x:c r="G15" s="2"/>
      <x:c r="H15" s="2"/>
    </x:row>
    <x:row r="16" ht="27" customHeight="1">
      <x:c r="A16" s="21" t="n">
        <x:v>3</x:v>
      </x:c>
      <x:c r="B16" s="2" t="str">
        <x:v>上界</x:v>
      </x:c>
      <x:c r="C16" s="20" t="n">
        <x:v>35</x:v>
      </x:c>
      <x:c r="D16" s="25" t="n">
        <x:f>SQRT($C$4^2-C16^2)</x:f>
        <x:v>48.73397172404482</x:v>
      </x:c>
      <x:c r="E16" s="25" t="n">
        <x:f>DEGREES(ASIN(C16/$C$4))</x:f>
        <x:v>35.68533471265206</x:v>
      </x:c>
      <x:c r="F16" s="26" t="n">
        <x:f>C16/D16</x:f>
        <x:v>0.7181848464596079</x:v>
      </x:c>
      <x:c r="G16" s="2"/>
      <x:c r="H16" s="2"/>
    </x:row>
    <x:row r="17" ht="27" customHeight="1">
      <x:c r="A17" s="21" t="n">
        <x:v>4</x:v>
      </x:c>
      <x:c r="B17" s="2" t="str">
        <x:v>上界</x:v>
      </x:c>
      <x:c r="C17" s="20" t="n">
        <x:v>34.5</x:v>
      </x:c>
      <x:c r="D17" s="25" t="n">
        <x:f>SQRT($C$4^2-C17^2)</x:f>
        <x:v>49.089204515860715</x:v>
      </x:c>
      <x:c r="E17" s="25" t="n">
        <x:f>DEGREES(ASIN(C17/$C$4))</x:f>
        <x:v>35.09963219539351</x:v>
      </x:c>
      <x:c r="F17" s="26" t="n">
        <x:f>C17/D17</x:f>
        <x:v>0.702802181054962</x:v>
      </x:c>
      <x:c r="G17" s="2"/>
      <x:c r="H17" s="2"/>
    </x:row>
    <x:row r="18" ht="27" customHeight="1">
      <x:c r="A18" s="27" t="n">
        <x:v>5</x:v>
      </x:c>
      <x:c r="B18" s="4" t="str">
        <x:v>上界</x:v>
      </x:c>
      <x:c r="C18" s="28" t="n">
        <x:v>34</x:v>
      </x:c>
      <x:c r="D18" s="29" t="n">
        <x:f>SQRT($C$4^2-C18^2)</x:f>
        <x:v>49.4368283772331</x:v>
      </x:c>
      <x:c r="E18" s="29" t="n">
        <x:f>DEGREES(ASIN(C18/$C$4))</x:f>
        <x:v>34.51810784106126</x:v>
      </x:c>
      <x:c r="F18" s="30" t="n">
        <x:f>C18/D18</x:f>
        <x:v>0.6877463849533246</x:v>
      </x:c>
      <x:c r="G18" s="2"/>
      <x:c r="H18" s="2"/>
    </x:row>
    <x:row r="19" ht="27" customHeight="1">
      <x:c r="A19" s="21" t="n">
        <x:v>1</x:v>
      </x:c>
      <x:c r="B19" s="2" t="str">
        <x:v>下界</x:v>
      </x:c>
      <x:c r="C19" s="20" t="n">
        <x:v>33.6</x:v>
      </x:c>
      <x:c r="D19" s="25" t="n">
        <x:f>SQRT($C$4^2-C19^2)</x:f>
        <x:v>49.70955642529915</x:v>
      </x:c>
      <x:c r="E19" s="25" t="n">
        <x:f>DEGREES(ASIN(C19/$C$4))</x:f>
        <x:v>34.055797742567904</x:v>
      </x:c>
      <x:c r="F19" s="26" t="n">
        <x:f>C19/D19</x:f>
        <x:v>0.6759263694193747</x:v>
      </x:c>
      <x:c r="G19" s="2"/>
      <x:c r="H19" s="2"/>
    </x:row>
    <x:row r="20" ht="27" customHeight="1">
      <x:c r="A20" s="21" t="n">
        <x:v>2</x:v>
      </x:c>
      <x:c r="B20" s="2" t="str">
        <x:v>下界</x:v>
      </x:c>
      <x:c r="C20" s="20" t="n">
        <x:v>33.8</x:v>
      </x:c>
      <x:c r="D20" s="25" t="n">
        <x:f>SQRT($C$4^2-C20^2)</x:f>
        <x:v>49.573783394048114</x:v>
      </x:c>
      <x:c r="E20" s="25" t="n">
        <x:f>DEGREES(ASIN(C20/$C$4))</x:f>
        <x:v>34.286634868378904</x:v>
      </x:c>
      <x:c r="F20" s="26" t="n">
        <x:f>C20/D20</x:f>
        <x:v>0.6818119918613689</x:v>
      </x:c>
      <x:c r="G20" s="2"/>
      <x:c r="H20" s="2"/>
    </x:row>
    <x:row r="21" ht="27" customHeight="1">
      <x:c r="A21" s="21" t="n">
        <x:v>3</x:v>
      </x:c>
      <x:c r="B21" s="2" t="str">
        <x:v>下界</x:v>
      </x:c>
      <x:c r="C21" s="20" t="n">
        <x:v>33.9</x:v>
      </x:c>
      <x:c r="D21" s="25" t="n">
        <x:f>SQRT($C$4^2-C21^2)</x:f>
        <x:v>49.50545424496173</x:v>
      </x:c>
      <x:c r="E21" s="25" t="n">
        <x:f>DEGREES(ASIN(C21/$C$4))</x:f>
        <x:v>34.402291309472304</x:v>
      </x:c>
      <x:c r="F21" s="26" t="n">
        <x:f>C21/D21</x:f>
        <x:v>0.6847730319220345</x:v>
      </x:c>
      <x:c r="G21" s="2"/>
      <x:c r="H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</x:row>
  </x:sheetData>
  <x:pageMargins left="0.7" right="0.7" top="0.75" bottom="0.75" header="0.3" footer="0.3"/>
</x:worksheet>
</file>